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92a6c651f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Guide" sheetId="1" r:id="R7c645b84a5624407"/>
    <x:sheet xmlns:r="http://schemas.openxmlformats.org/officeDocument/2006/relationships" name="Analysis" sheetId="2" r:id="R2cd26357e59c4b44"/>
    <x:sheet xmlns:r="http://schemas.openxmlformats.org/officeDocument/2006/relationships" name="Dashboard" sheetId="3" r:id="R484f3c087298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"/>
    <x:numFmt numFmtId="201" formatCode="0.0%"/>
    <x:numFmt numFmtId="202" formatCode="0%"/>
    <x:numFmt numFmtId="203" formatCode="mmm-yy"/>
    <x:numFmt numFmtId="204" formatCode="$#,##0"/>
    <x:numFmt numFmtId="205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name val="Carlito"/>
    </x:font>
    <x:font>
      <x:b/>
      <x:sz val="18"/>
      <x:color rgb="FF163A5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204" fontId="5" fillId="3" borderId="0" xfId="0" applyNumberFormat="1" applyFont="1" applyFill="1" applyBorder="1"/>
    <x:xf numFmtId="204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204" fontId="5" fillId="3" borderId="1" xfId="0" applyNumberFormat="1" applyFont="1" applyFill="1" applyBorder="1"/>
    <x:xf numFmtId="204" fontId="5" fillId="3" borderId="1" xfId="0" applyNumberFormat="1" applyFont="1" applyFill="1" applyBorder="1" applyAlignment="1">
      <x:alignment horizontal="center"/>
    </x:xf>
    <x:xf numFmtId="201" fontId="5" fillId="3" borderId="0" xfId="0" applyNumberFormat="1" applyFont="1" applyFill="1" applyBorder="1"/>
    <x:xf numFmtId="201" fontId="5" fillId="3" borderId="0" xfId="0" applyNumberFormat="1" applyFont="1" applyFill="1" applyBorder="1" applyAlignment="1">
      <x:alignment horizontal="center"/>
    </x:xf>
    <x:xf numFmtId="201" fontId="5" fillId="3" borderId="1" xfId="0" applyNumberFormat="1" applyFont="1" applyFill="1" applyBorder="1"/>
    <x:xf numFmtId="201" fontId="5" fillId="3" borderId="1" xfId="0" applyNumberFormat="1" applyFont="1" applyFill="1" applyBorder="1" applyAlignment="1">
      <x:alignment horizontal="center"/>
    </x:xf>
    <x:xf numFmtId="205" fontId="5" fillId="3" borderId="0" xfId="0" applyNumberFormat="1" applyFont="1" applyFill="1" applyBorder="1"/>
    <x:xf numFmtId="205" fontId="5" fillId="3" borderId="0" xfId="0" applyNumberFormat="1" applyFont="1" applyFill="1" applyBorder="1" applyAlignment="1">
      <x:alignment horizontal="center"/>
    </x:xf>
    <x:xf numFmtId="205" fontId="5" fillId="3" borderId="1" xfId="0" applyNumberFormat="1" applyFont="1" applyFill="1" applyBorder="1"/>
    <x:xf numFmtId="205" fontId="5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0c3266c5b4296" /><Relationship Type="http://schemas.openxmlformats.org/officeDocument/2006/relationships/theme" Target="/xl/theme/theme1.xml" Id="R57fb46b188b24d38" /><Relationship Type="http://schemas.openxmlformats.org/officeDocument/2006/relationships/sharedStrings" Target="/xl/sharedStrings.xml" Id="R79615eb3b1a54c95" /><Relationship Type="http://schemas.openxmlformats.org/officeDocument/2006/relationships/worksheet" Target="/xl/worksheets/sheet1.xml" Id="R7c645b84a5624407" /><Relationship Type="http://schemas.openxmlformats.org/officeDocument/2006/relationships/worksheet" Target="/xl/worksheets/sheet2.xml" Id="R2cd26357e59c4b44" /><Relationship Type="http://schemas.openxmlformats.org/officeDocument/2006/relationships/worksheet" Target="/xl/worksheets/sheet3.xml" Id="R484f3c0872984e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23472870c94358" /><Relationship Type="http://schemas.openxmlformats.org/officeDocument/2006/relationships/chart" Target="/xl/drawings/charts/chart2.xml" Id="R0331b50a276c41c2" /><Relationship Type="http://schemas.openxmlformats.org/officeDocument/2006/relationships/chart" Target="/xl/drawings/charts/chart3.xml" Id="R3b04733ce82149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&amp; Profit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'Dashboard'!$B$16:$B$19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'Dashboard'!$C$16:$C$19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&amp; Profit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'Dashboard'!$F$16:$F$18</c:f>
              <c:strCache>
                <c:ptCount val="0"/>
              </c:strCache>
            </c:strRef>
          </c:cat>
          <c:val>
            <c:numRef>
              <c:f>'Dashboard'!$G$16:$G$18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'Dashboard'!$F$16:$F$18</c:f>
              <c:strCache>
                <c:ptCount val="0"/>
              </c:strCache>
            </c:strRef>
          </c:cat>
          <c:val>
            <c:numRef>
              <c:f>'Dashboard'!$H$16:$H$18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&amp; Profit Trend</a:t>
            </a:r>
          </a:p>
        </c:rich>
      </c:tx>
    </c:title>
    <c:plotArea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'Dashboard'!$A$42:$A$89</c:f>
              <c:strCache>
                <c:ptCount val="0"/>
              </c:strCache>
            </c:strRef>
          </c:cat>
          <c:val>
            <c:numRef>
              <c:f>'Dashboard'!$B$42:$B$89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'Dashboard'!$A$42:$A$89</c:f>
              <c:strCache>
                <c:ptCount val="0"/>
              </c:strCache>
            </c:strRef>
          </c:cat>
          <c:val>
            <c:numRef>
              <c:f>'Dashboard'!$C$42:$C$89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23472870c94358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31b50a276c41c2"/>
        </a:graphicData>
      </a:graphic>
    </xdr:graphicFrame>
    <xdr:clientData/>
  </xdr:twoCellAnchor>
  <xdr:twoCellAnchor>
    <xdr:from>
      <xdr:col>0</xdr:col>
      <xdr:colOff>0</xdr:colOff>
      <xdr:row>90</xdr:row>
      <xdr:rowOff>0</xdr:rowOff>
    </xdr:from>
    <xdr:to>
      <xdr:col>14</xdr:col>
      <xdr:colOff>0</xdr:colOff>
      <xdr:row>108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04733ce82149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1c0e8d1a0214c9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5" t="str">
        <x:v>Superstore Sales Analysis — Portfolio Project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Item</x:v>
      </x:c>
      <x:c r="B4" s="13" t="str">
        <x:v>Details</x:v>
      </x:c>
    </x:row>
    <x:row r="5">
      <x:c r="A5" t="str">
        <x:v>Dataset</x:v>
      </x:c>
      <x:c r="B5" t="str">
        <x:v>Superstore Sales data supplied by the user</x:v>
      </x:c>
    </x:row>
    <x:row r="6">
      <x:c r="A6" t="str">
        <x:v>Records</x:v>
      </x:c>
      <x:c r="B6" t="str">
        <x:v>9,994 order-line records | 5,009 unique orders | 793 customers</x:v>
      </x:c>
    </x:row>
    <x:row r="7">
      <x:c r="A7" t="str">
        <x:v>Date Range</x:v>
      </x:c>
      <x:c r="B7" t="str">
        <x:v>2014-01-03 to 2017-12-30</x:v>
      </x:c>
    </x:row>
    <x:row r="8">
      <x:c r="A8" t="str">
        <x:v>Excel</x:v>
      </x:c>
      <x:c r="B8" t="str">
        <x:v>Dashboard, KPI analysis, regional/category/sub-category and discount analysis</x:v>
      </x:c>
    </x:row>
    <x:row r="9">
      <x:c r="A9" t="str">
        <x:v>SQL</x:v>
      </x:c>
      <x:c r="B9" t="str">
        <x:v>PostgreSQL-compatible business analysis queries</x:v>
      </x:c>
    </x:row>
    <x:row r="10">
      <x:c r="A10" t="str">
        <x:v>Python</x:v>
      </x:c>
      <x:c r="B10" t="str">
        <x:v>Jupyter notebook with reproducible EDA and charts</x:v>
      </x:c>
    </x:row>
    <x:row r="11">
      <x:c r="A11" t="str">
        <x:v>Tableau</x:v>
      </x:c>
      <x:c r="B11" t="str">
        <x:v>Packaged TWBX with CSV data source</x:v>
      </x:c>
    </x:row>
    <x:row r="12">
      <x:c r="A12" t="str">
        <x:v>Main Insight</x:v>
      </x:c>
      <x:c r="B12" t="str">
        <x:v>West leads; Technology has strongest category margin; heavy discounts destroy profitability</x:v>
      </x:c>
    </x:row>
    <x:row r="14">
      <x:c r="A14" s="20" t="str">
        <x:v>This workbook contains the Excel analysis component. The original source workbook is included separately in the project ZIP so the analysis is traceable to the supplied data.</x:v>
      </x:c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2"/>
    <x:mergeCell ref="A14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2" hidden="0" customWidth="1"/>
  </x:cols>
  <x:sheetData>
    <x:row r="1">
      <x:c r="A1" s="4" t="str">
        <x:v>Superstore Sales Analysis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13" t="str">
        <x:v>KPI</x:v>
      </x:c>
      <x:c r="B4" s="13" t="str">
        <x:v>Value</x:v>
      </x:c>
      <x:c r="D4" s="13" t="str">
        <x:v>Region</x:v>
      </x:c>
      <x:c r="E4" s="13" t="str">
        <x:v>Sales</x:v>
      </x:c>
      <x:c r="F4" s="13" t="str">
        <x:v>Profit</x:v>
      </x:c>
      <x:c r="G4" s="13" t="str">
        <x:v>Margin</x:v>
      </x:c>
      <x:c r="H4" s="13" t="str">
        <x:v>Quantity</x:v>
      </x:c>
      <x:c r="I4" s="13" t="str">
        <x:v>Orders</x:v>
      </x:c>
    </x:row>
    <x:row r="5">
      <x:c r="A5" t="str">
        <x:v>Total Sales</x:v>
      </x:c>
      <x:c r="B5" s="24" t="n">
        <x:v>2297200.8603</x:v>
      </x:c>
      <x:c r="D5" t="str">
        <x:v>West</x:v>
      </x:c>
      <x:c r="E5" s="24" t="n">
        <x:v>725457.8245000006</x:v>
      </x:c>
      <x:c r="F5" s="24" t="n">
        <x:v>108418.44890000013</x:v>
      </x:c>
      <x:c r="G5" s="26" t="n">
        <x:f>F5/E5</x:f>
        <x:v>0.1494483142072721</x:v>
      </x:c>
      <x:c r="H5" t="n">
        <x:v>12266</x:v>
      </x:c>
      <x:c r="I5" t="n">
        <x:v>1611</x:v>
      </x:c>
    </x:row>
    <x:row r="6">
      <x:c r="A6" t="str">
        <x:v>Total Profit</x:v>
      </x:c>
      <x:c r="B6" s="24" t="n">
        <x:v>286397.0216999999</x:v>
      </x:c>
      <x:c r="D6" t="str">
        <x:v>East</x:v>
      </x:c>
      <x:c r="E6" s="24" t="n">
        <x:v>678781.2399999979</x:v>
      </x:c>
      <x:c r="F6" s="24" t="n">
        <x:v>91522.78000000026</x:v>
      </x:c>
      <x:c r="G6" s="26" t="n">
        <x:f>F6/E6</x:f>
        <x:v>0.13483398568882154</x:v>
      </x:c>
      <x:c r="H6" t="n">
        <x:v>10618</x:v>
      </x:c>
      <x:c r="I6" t="n">
        <x:v>1401</x:v>
      </x:c>
    </x:row>
    <x:row r="7">
      <x:c r="A7" t="str">
        <x:v>Profit Margin</x:v>
      </x:c>
      <x:c r="B7" s="26" t="n">
        <x:f>B6/B5</x:f>
        <x:v>0.12467217240315603</x:v>
      </x:c>
      <x:c r="D7" t="str">
        <x:v>Central</x:v>
      </x:c>
      <x:c r="E7" s="24" t="n">
        <x:v>501239.8908000005</x:v>
      </x:c>
      <x:c r="F7" s="24" t="n">
        <x:v>39706.36249999997</x:v>
      </x:c>
      <x:c r="G7" s="26" t="n">
        <x:f>F7/E7</x:f>
        <x:v>0.07921628591177549</x:v>
      </x:c>
      <x:c r="H7" t="n">
        <x:v>8780</x:v>
      </x:c>
      <x:c r="I7" t="n">
        <x:v>1175</x:v>
      </x:c>
    </x:row>
    <x:row r="8">
      <x:c r="A8" t="str">
        <x:v>Total Quantity</x:v>
      </x:c>
      <x:c r="B8" t="n">
        <x:v>37873</x:v>
      </x:c>
      <x:c r="D8" t="str">
        <x:v>South</x:v>
      </x:c>
      <x:c r="E8" s="24" t="n">
        <x:v>391721.9050000003</x:v>
      </x:c>
      <x:c r="F8" s="24" t="n">
        <x:v>46749.43030000006</x:v>
      </x:c>
      <x:c r="G8" s="26" t="n">
        <x:f>F8/E8</x:f>
        <x:v>0.11934341609004485</x:v>
      </x:c>
      <x:c r="H8" t="n">
        <x:v>6209</x:v>
      </x:c>
      <x:c r="I8" t="n">
        <x:v>822</x:v>
      </x:c>
    </x:row>
    <x:row r="9">
      <x:c r="A9" t="str">
        <x:v>Unique Orders</x:v>
      </x:c>
      <x:c r="B9" t="n">
        <x:v>5009</x:v>
      </x:c>
      <x:c r="E9" s="24"/>
      <x:c r="F9" s="24"/>
    </x:row>
    <x:row r="10">
      <x:c r="A10" t="str">
        <x:v>Unique Customers</x:v>
      </x:c>
      <x:c r="B10" t="n">
        <x:v>793</x:v>
      </x:c>
    </x:row>
    <x:row r="11">
      <x:c r="A11" t="str">
        <x:v>Returned Orders</x:v>
      </x:c>
      <x:c r="B11" t="n">
        <x:v>296</x:v>
      </x:c>
    </x:row>
    <x:row r="12">
      <x:c r="A12" t="str">
        <x:v>Return Rate</x:v>
      </x:c>
      <x:c r="B12" s="26" t="n">
        <x:f>B11/B9</x:f>
        <x:v>0.05909363146336594</x:v>
      </x:c>
    </x:row>
    <x:row r="15">
      <x:c r="A15" s="13" t="str">
        <x:v>Category</x:v>
      </x:c>
      <x:c r="B15" s="13" t="str">
        <x:v>Sales</x:v>
      </x:c>
      <x:c r="C15" s="13" t="str">
        <x:v>Profit</x:v>
      </x:c>
      <x:c r="D15" s="13" t="str">
        <x:v>Margin</x:v>
      </x:c>
      <x:c r="E15" s="13" t="str">
        <x:v>Quantity</x:v>
      </x:c>
      <x:c r="G15" s="13" t="str">
        <x:v>Segment</x:v>
      </x:c>
      <x:c r="H15" s="13" t="str">
        <x:v>Sales</x:v>
      </x:c>
      <x:c r="I15" s="13" t="str">
        <x:v>Profit</x:v>
      </x:c>
      <x:c r="J15" s="13" t="str">
        <x:v>Margin</x:v>
      </x:c>
      <x:c r="K15" s="13" t="str">
        <x:v>Quantity</x:v>
      </x:c>
    </x:row>
    <x:row r="16">
      <x:c r="A16" t="str">
        <x:v>Technology</x:v>
      </x:c>
      <x:c r="B16" s="24" t="n">
        <x:v>836154.0329999966</x:v>
      </x:c>
      <x:c r="C16" s="24" t="n">
        <x:v>145454.9480999998</x:v>
      </x:c>
      <x:c r="D16" s="26" t="n">
        <x:f>C16/B16</x:f>
        <x:v>0.17395712076891987</x:v>
      </x:c>
      <x:c r="E16" t="n">
        <x:v>6939</x:v>
      </x:c>
      <x:c r="G16" t="str">
        <x:v>Consumer</x:v>
      </x:c>
      <x:c r="H16" t="n">
        <x:v>1161401.345</x:v>
      </x:c>
      <x:c r="I16" t="n">
        <x:v>134119.2092</x:v>
      </x:c>
      <x:c r="J16" s="26" t="n">
        <x:f>I16/H16</x:f>
        <x:v>0.11548050101491833</x:v>
      </x:c>
      <x:c r="K16" t="n">
        <x:v>19521</x:v>
      </x:c>
    </x:row>
    <x:row r="17">
      <x:c r="A17" t="str">
        <x:v>Furniture</x:v>
      </x:c>
      <x:c r="B17" s="24" t="n">
        <x:v>741999.7952999998</x:v>
      </x:c>
      <x:c r="C17" s="24" t="n">
        <x:v>18451.27279999999</x:v>
      </x:c>
      <x:c r="D17" s="26" t="n">
        <x:f>C17/B17</x:f>
        <x:v>0.024866951334588862</x:v>
      </x:c>
      <x:c r="E17" t="n">
        <x:v>8028</x:v>
      </x:c>
      <x:c r="G17" t="str">
        <x:v>Corporate</x:v>
      </x:c>
      <x:c r="H17" t="n">
        <x:v>706146.3668</x:v>
      </x:c>
      <x:c r="I17" t="n">
        <x:v>91979.134</x:v>
      </x:c>
      <x:c r="J17" s="26" t="n">
        <x:f>I17/H17</x:f>
        <x:v>0.13025505521867398</x:v>
      </x:c>
      <x:c r="K17" t="n">
        <x:v>11608</x:v>
      </x:c>
    </x:row>
    <x:row r="18">
      <x:c r="A18" t="str">
        <x:v>Office Supplies</x:v>
      </x:c>
      <x:c r="B18" s="24" t="n">
        <x:v>719047.0320000029</x:v>
      </x:c>
      <x:c r="C18" s="24" t="n">
        <x:v>122490.8008000001</x:v>
      </x:c>
      <x:c r="D18" s="26" t="n">
        <x:f>C18/B18</x:f>
        <x:v>0.17035158390028596</x:v>
      </x:c>
      <x:c r="E18" t="n">
        <x:v>22906</x:v>
      </x:c>
      <x:c r="G18" t="str">
        <x:v>Home Office</x:v>
      </x:c>
      <x:c r="H18" t="n">
        <x:v>429653.1485</x:v>
      </x:c>
      <x:c r="I18" t="n">
        <x:v>60298.6785</x:v>
      </x:c>
      <x:c r="J18" s="26" t="n">
        <x:f>I18/H18</x:f>
        <x:v>0.14034268970334335</x:v>
      </x:c>
      <x:c r="K18" t="n">
        <x:v>6744</x:v>
      </x:c>
    </x:row>
    <x:row r="22">
      <x:c r="A22" s="13" t="str">
        <x:v>Sub-Category</x:v>
      </x:c>
      <x:c r="B22" s="13" t="str">
        <x:v>Sales</x:v>
      </x:c>
      <x:c r="C22" s="13" t="str">
        <x:v>Profit</x:v>
      </x:c>
      <x:c r="D22" s="13" t="str">
        <x:v>Margin</x:v>
      </x:c>
      <x:c r="E22" s="13" t="str">
        <x:v>Quantity</x:v>
      </x:c>
      <x:c r="G22" s="13" t="str">
        <x:v>Discount</x:v>
      </x:c>
      <x:c r="H22" s="13" t="str">
        <x:v>Sales</x:v>
      </x:c>
      <x:c r="I22" s="13" t="str">
        <x:v>Profit</x:v>
      </x:c>
      <x:c r="J22" s="13" t="str">
        <x:v>Margin</x:v>
      </x:c>
      <x:c r="K22" s="13" t="str">
        <x:v>Rows</x:v>
      </x:c>
    </x:row>
    <x:row r="23">
      <x:c r="A23" t="str">
        <x:v>Copiers</x:v>
      </x:c>
      <x:c r="B23" s="24" t="n">
        <x:v>149528.02999999994</x:v>
      </x:c>
      <x:c r="C23" s="24" t="n">
        <x:v>55617.8249</x:v>
      </x:c>
      <x:c r="D23" s="26" t="n">
        <x:f>IFERROR(C23/B23,0)</x:f>
        <x:v>0.3719558460042577</x:v>
      </x:c>
      <x:c r="E23" t="n">
        <x:v>234</x:v>
      </x:c>
      <x:c r="G23" s="28" t="n">
        <x:v>0</x:v>
      </x:c>
      <x:c r="H23" s="24" t="n">
        <x:v>1087908.4699999911</x:v>
      </x:c>
      <x:c r="I23" s="24" t="n">
        <x:v>320987.6031999997</x:v>
      </x:c>
      <x:c r="J23" s="26" t="n">
        <x:f>IFERROR(I23/H23,0)</x:f>
        <x:v>0.2950501922280303</x:v>
      </x:c>
      <x:c r="K23" t="n">
        <x:v>4798</x:v>
      </x:c>
    </x:row>
    <x:row r="24">
      <x:c r="A24" t="str">
        <x:v>Phones</x:v>
      </x:c>
      <x:c r="B24" s="24" t="n">
        <x:v>330007.0540000001</x:v>
      </x:c>
      <x:c r="C24" s="24" t="n">
        <x:v>44515.73059999999</x:v>
      </x:c>
      <x:c r="D24" s="26" t="n">
        <x:f>IFERROR(C24/B24,0)</x:f>
        <x:v>0.13489326988749753</x:v>
      </x:c>
      <x:c r="E24" t="n">
        <x:v>3289</x:v>
      </x:c>
      <x:c r="G24" s="28" t="n">
        <x:v>0.1</x:v>
      </x:c>
      <x:c r="H24" s="24" t="n">
        <x:v>54369.35100000001</x:v>
      </x:c>
      <x:c r="I24" s="24" t="n">
        <x:v>9029.176999999996</x:v>
      </x:c>
      <x:c r="J24" s="26" t="n">
        <x:f>IFERROR(I24/H24,0)</x:f>
        <x:v>0.16607108295259942</x:v>
      </x:c>
      <x:c r="K24" t="n">
        <x:v>94</x:v>
      </x:c>
    </x:row>
    <x:row r="25">
      <x:c r="A25" t="str">
        <x:v>Accessories</x:v>
      </x:c>
      <x:c r="B25" s="24" t="n">
        <x:v>167380.3180000001</x:v>
      </x:c>
      <x:c r="C25" s="24" t="n">
        <x:v>41936.635699999926</x:v>
      </x:c>
      <x:c r="D25" s="26" t="n">
        <x:f>IFERROR(C25/B25,0)</x:f>
        <x:v>0.25054699501765737</x:v>
      </x:c>
      <x:c r="E25" t="n">
        <x:v>2976</x:v>
      </x:c>
      <x:c r="G25" s="28" t="n">
        <x:v>0.15</x:v>
      </x:c>
      <x:c r="H25" s="24" t="n">
        <x:v>27558.521500000006</x:v>
      </x:c>
      <x:c r="I25" s="24" t="n">
        <x:v>1418.991499999999</x:v>
      </x:c>
      <x:c r="J25" s="26" t="n">
        <x:f>IFERROR(I25/H25,0)</x:f>
        <x:v>0.051490117131283646</x:v>
      </x:c>
      <x:c r="K25" t="n">
        <x:v>52</x:v>
      </x:c>
    </x:row>
    <x:row r="26">
      <x:c r="A26" t="str">
        <x:v>Paper</x:v>
      </x:c>
      <x:c r="B26" s="24" t="n">
        <x:v>78479.20600000002</x:v>
      </x:c>
      <x:c r="C26" s="24" t="n">
        <x:v>34053.56929999997</x:v>
      </x:c>
      <x:c r="D26" s="26" t="n">
        <x:f>IFERROR(C26/B26,0)</x:f>
        <x:v>0.4339183719570246</x:v>
      </x:c>
      <x:c r="E26" t="n">
        <x:v>5178</x:v>
      </x:c>
      <x:c r="G26" s="28" t="n">
        <x:v>0.2</x:v>
      </x:c>
      <x:c r="H26" s="24" t="n">
        <x:v>764594.3680000046</x:v>
      </x:c>
      <x:c r="I26" s="24" t="n">
        <x:v>90337.30600000001</x:v>
      </x:c>
      <x:c r="J26" s="26" t="n">
        <x:f>IFERROR(I26/H26,0)</x:f>
        <x:v>0.11815062964209472</x:v>
      </x:c>
      <x:c r="K26" t="n">
        <x:v>3657</x:v>
      </x:c>
    </x:row>
    <x:row r="27">
      <x:c r="A27" t="str">
        <x:v>Binders</x:v>
      </x:c>
      <x:c r="B27" s="24" t="n">
        <x:v>203412.7330000001</x:v>
      </x:c>
      <x:c r="C27" s="24" t="n">
        <x:v>30221.763299999984</x:v>
      </x:c>
      <x:c r="D27" s="26" t="n">
        <x:f>IFERROR(C27/B27,0)</x:f>
        <x:v>0.14857360625502225</x:v>
      </x:c>
      <x:c r="E27" t="n">
        <x:v>5974</x:v>
      </x:c>
      <x:c r="G27" s="28" t="n">
        <x:v>0.3</x:v>
      </x:c>
      <x:c r="H27" s="24" t="n">
        <x:v>103226.65499999988</x:v>
      </x:c>
      <x:c r="I27" s="24" t="n">
        <x:v>-10369.277399999997</x:v>
      </x:c>
      <x:c r="J27" s="26" t="n">
        <x:f>IFERROR(I27/H27,0)</x:f>
        <x:v>-0.10045154906937563</x:v>
      </x:c>
      <x:c r="K27" t="n">
        <x:v>227</x:v>
      </x:c>
    </x:row>
    <x:row r="28">
      <x:c r="A28" t="str">
        <x:v>Chairs</x:v>
      </x:c>
      <x:c r="B28" s="24" t="n">
        <x:v>328449.1030000007</x:v>
      </x:c>
      <x:c r="C28" s="24" t="n">
        <x:v>26590.16630000002</x:v>
      </x:c>
      <x:c r="D28" s="26" t="n">
        <x:f>IFERROR(C28/B28,0)</x:f>
        <x:v>0.0809567328914275</x:v>
      </x:c>
      <x:c r="E28" t="n">
        <x:v>2356</x:v>
      </x:c>
      <x:c r="G28" s="28" t="n">
        <x:v>0.32</x:v>
      </x:c>
      <x:c r="H28" s="24" t="n">
        <x:v>14493.458799999999</x:v>
      </x:c>
      <x:c r="I28" s="24" t="n">
        <x:v>-2391.1377000000007</x:v>
      </x:c>
      <x:c r="J28" s="26" t="n">
        <x:f>IFERROR(I28/H28,0)</x:f>
        <x:v>-0.1649804738120897</x:v>
      </x:c>
      <x:c r="K28" t="n">
        <x:v>27</x:v>
      </x:c>
    </x:row>
    <x:row r="29">
      <x:c r="A29" t="str">
        <x:v>Storage</x:v>
      </x:c>
      <x:c r="B29" s="24" t="n">
        <x:v>223843.60800000012</x:v>
      </x:c>
      <x:c r="C29" s="24" t="n">
        <x:v>21278.826399999987</x:v>
      </x:c>
      <x:c r="D29" s="26" t="n">
        <x:f>IFERROR(C29/B29,0)</x:f>
        <x:v>0.09506113035847767</x:v>
      </x:c>
      <x:c r="E29" t="n">
        <x:v>3158</x:v>
      </x:c>
      <x:c r="G29" s="28" t="n">
        <x:v>0.4</x:v>
      </x:c>
      <x:c r="H29" s="24" t="n">
        <x:v>116417.78400000006</x:v>
      </x:c>
      <x:c r="I29" s="24" t="n">
        <x:v>-23057.05040000002</x:v>
      </x:c>
      <x:c r="J29" s="26" t="n">
        <x:f>IFERROR(I29/H29,0)</x:f>
        <x:v>-0.19805436598930629</x:v>
      </x:c>
      <x:c r="K29" t="n">
        <x:v>206</x:v>
      </x:c>
    </x:row>
    <x:row r="30">
      <x:c r="A30" t="str">
        <x:v>Appliances</x:v>
      </x:c>
      <x:c r="B30" s="24" t="n">
        <x:v>107532.161</x:v>
      </x:c>
      <x:c r="C30" s="24" t="n">
        <x:v>18138.005399999995</x:v>
      </x:c>
      <x:c r="D30" s="26" t="n">
        <x:f>IFERROR(C30/B30,0)</x:f>
        <x:v>0.16867516872463853</x:v>
      </x:c>
      <x:c r="E30" t="n">
        <x:v>1729</x:v>
      </x:c>
      <x:c r="G30" s="28" t="n">
        <x:v>0.45</x:v>
      </x:c>
      <x:c r="H30" s="24" t="n">
        <x:v>5484.974000000001</x:v>
      </x:c>
      <x:c r="I30" s="24" t="n">
        <x:v>-2493.1111</x:v>
      </x:c>
      <x:c r="J30" s="26" t="n">
        <x:f>IFERROR(I30/H30,0)</x:f>
        <x:v>-0.4545347161171593</x:v>
      </x:c>
      <x:c r="K30" t="n">
        <x:v>11</x:v>
      </x:c>
    </x:row>
    <x:row r="31">
      <x:c r="A31" t="str">
        <x:v>Furnishings</x:v>
      </x:c>
      <x:c r="B31" s="24" t="n">
        <x:v>91705.16400000005</x:v>
      </x:c>
      <x:c r="C31" s="24" t="n">
        <x:v>13059.143599999985</x:v>
      </x:c>
      <x:c r="D31" s="26" t="n">
        <x:f>IFERROR(C31/B31,0)</x:f>
        <x:v>0.1424035793665881</x:v>
      </x:c>
      <x:c r="E31" t="n">
        <x:v>3563</x:v>
      </x:c>
      <x:c r="G31" s="28" t="n">
        <x:v>0.5</x:v>
      </x:c>
      <x:c r="H31" s="24" t="n">
        <x:v>58918.53999999998</x:v>
      </x:c>
      <x:c r="I31" s="24" t="n">
        <x:v>-20506.428099999997</x:v>
      </x:c>
      <x:c r="J31" s="26" t="n">
        <x:f>IFERROR(I31/H31,0)</x:f>
        <x:v>-0.3480471189544073</x:v>
      </x:c>
      <x:c r="K31" t="n">
        <x:v>66</x:v>
      </x:c>
    </x:row>
    <x:row r="32">
      <x:c r="A32" t="str">
        <x:v>Envelopes</x:v>
      </x:c>
      <x:c r="B32" s="24" t="n">
        <x:v>16476.402</x:v>
      </x:c>
      <x:c r="C32" s="24" t="n">
        <x:v>6964.176700000003</x:v>
      </x:c>
      <x:c r="D32" s="26" t="n">
        <x:f>IFERROR(C32/B32,0)</x:f>
        <x:v>0.42267581842200763</x:v>
      </x:c>
      <x:c r="E32" t="n">
        <x:v>906</x:v>
      </x:c>
      <x:c r="G32" s="28" t="n">
        <x:v>0.6</x:v>
      </x:c>
      <x:c r="H32" s="24" t="n">
        <x:v>6644.700000000003</x:v>
      </x:c>
      <x:c r="I32" s="24" t="n">
        <x:v>-5944.655200000003</x:v>
      </x:c>
      <x:c r="J32" s="26" t="n">
        <x:f>IFERROR(I32/H32,0)</x:f>
        <x:v>-0.8946461390280976</x:v>
      </x:c>
      <x:c r="K32" t="n">
        <x:v>138</x:v>
      </x:c>
    </x:row>
    <x:row r="33">
      <x:c r="A33" t="str">
        <x:v>Art</x:v>
      </x:c>
      <x:c r="B33" s="24" t="n">
        <x:v>27118.791999999954</x:v>
      </x:c>
      <x:c r="C33" s="24" t="n">
        <x:v>6527.786999999999</x:v>
      </x:c>
      <x:c r="D33" s="26" t="n">
        <x:f>IFERROR(C33/B33,0)</x:f>
        <x:v>0.24071083254740883</x:v>
      </x:c>
      <x:c r="E33" t="n">
        <x:v>3000</x:v>
      </x:c>
      <x:c r="G33" s="28" t="n">
        <x:v>0.7</x:v>
      </x:c>
      <x:c r="H33" s="24" t="n">
        <x:v>40620.282000000065</x:v>
      </x:c>
      <x:c r="I33" s="24" t="n">
        <x:v>-40075.356899999955</x:v>
      </x:c>
      <x:c r="J33" s="26" t="n">
        <x:f>IFERROR(I33/H33,0)</x:f>
        <x:v>-0.9865849011092511</x:v>
      </x:c>
      <x:c r="K33" t="n">
        <x:v>418</x:v>
      </x:c>
    </x:row>
    <x:row r="34">
      <x:c r="A34" t="str">
        <x:v>Labels</x:v>
      </x:c>
      <x:c r="B34" s="24" t="n">
        <x:v>12486.312</x:v>
      </x:c>
      <x:c r="C34" s="24" t="n">
        <x:v>5546.253999999998</x:v>
      </x:c>
      <x:c r="D34" s="26" t="n">
        <x:f>IFERROR(C34/B34,0)</x:f>
        <x:v>0.44418672222830874</x:v>
      </x:c>
      <x:c r="E34" t="n">
        <x:v>1400</x:v>
      </x:c>
      <x:c r="G34" s="28" t="n">
        <x:v>0.8</x:v>
      </x:c>
      <x:c r="H34" s="24" t="n">
        <x:v>16963.755999999987</x:v>
      </x:c>
      <x:c r="I34" s="24" t="n">
        <x:v>-30539.03919999999</x:v>
      </x:c>
      <x:c r="J34" s="26" t="n">
        <x:f>IFERROR(I34/H34,0)</x:f>
        <x:v>-1.8002522082963237</x:v>
      </x:c>
      <x:c r="K34" t="n">
        <x:v>300</x:v>
      </x:c>
    </x:row>
    <x:row r="35">
      <x:c r="A35" t="str">
        <x:v>Machines</x:v>
      </x:c>
      <x:c r="B35" s="24" t="n">
        <x:v>189238.631</x:v>
      </x:c>
      <x:c r="C35" s="24" t="n">
        <x:v>3384.756899999989</x:v>
      </x:c>
      <x:c r="D35" s="26" t="n">
        <x:f>IFERROR(C35/B35,0)</x:f>
        <x:v>0.01788618360909612</x:v>
      </x:c>
      <x:c r="E35" t="n">
        <x:v>440</x:v>
      </x:c>
    </x:row>
    <x:row r="36">
      <x:c r="A36" t="str">
        <x:v>Fasteners</x:v>
      </x:c>
      <x:c r="B36" s="24" t="n">
        <x:v>3024.2799999999997</x:v>
      </x:c>
      <x:c r="C36" s="24" t="n">
        <x:v>949.5181999999995</x:v>
      </x:c>
      <x:c r="D36" s="26" t="n">
        <x:f>IFERROR(C36/B36,0)</x:f>
        <x:v>0.31396504291930627</x:v>
      </x:c>
      <x:c r="E36" t="n">
        <x:v>914</x:v>
      </x:c>
    </x:row>
    <x:row r="37">
      <x:c r="A37" t="str">
        <x:v>Supplies</x:v>
      </x:c>
      <x:c r="B37" s="24" t="n">
        <x:v>46673.538000000015</x:v>
      </x:c>
      <x:c r="C37" s="24" t="n">
        <x:v>-1189.0994999999991</x:v>
      </x:c>
      <x:c r="D37" s="26" t="n">
        <x:f>IFERROR(C37/B37,0)</x:f>
        <x:v>-0.025476952272184696</x:v>
      </x:c>
      <x:c r="E37" t="n">
        <x:v>647</x:v>
      </x:c>
    </x:row>
    <x:row r="38">
      <x:c r="A38" t="str">
        <x:v>Bookcases</x:v>
      </x:c>
      <x:c r="B38" s="24" t="n">
        <x:v>114879.99629999998</x:v>
      </x:c>
      <x:c r="C38" s="24" t="n">
        <x:v>-3472.5560000000023</x:v>
      </x:c>
      <x:c r="D38" s="26" t="n">
        <x:f>IFERROR(C38/B38,0)</x:f>
        <x:v>-0.030227682032054545</x:v>
      </x:c>
      <x:c r="E38" t="n">
        <x:v>868</x:v>
      </x:c>
    </x:row>
    <x:row r="39">
      <x:c r="A39" t="str">
        <x:v>Tables</x:v>
      </x:c>
      <x:c r="B39" s="24" t="n">
        <x:v>206965.5320000001</x:v>
      </x:c>
      <x:c r="C39" s="24" t="n">
        <x:v>-17725.4811</x:v>
      </x:c>
      <x:c r="D39" s="26" t="n">
        <x:f>IFERROR(C39/B39,0)</x:f>
        <x:v>-0.08564460433923844</x:v>
      </x:c>
      <x:c r="E39" t="n">
        <x:v>1241</x:v>
      </x:c>
    </x:row>
    <x:row r="41">
      <x:c r="A41" s="13" t="str">
        <x:v>Month</x:v>
      </x:c>
      <x:c r="B41" s="13" t="str">
        <x:v>Sales</x:v>
      </x:c>
      <x:c r="C41" s="13" t="str">
        <x:v>Profit</x:v>
      </x:c>
      <x:c r="D41" s="13" t="str">
        <x:v>Quantity</x:v>
      </x:c>
    </x:row>
    <x:row r="42">
      <x:c r="A42" s="30" t="n">
        <x:v>41640</x:v>
      </x:c>
      <x:c r="B42" s="24" t="n">
        <x:v>14236.894999999997</x:v>
      </x:c>
      <x:c r="C42" s="24" t="n">
        <x:v>2450.190699999999</x:v>
      </x:c>
      <x:c r="D42" t="n">
        <x:v>284</x:v>
      </x:c>
    </x:row>
    <x:row r="43">
      <x:c r="A43" s="30" t="n">
        <x:v>41671</x:v>
      </x:c>
      <x:c r="B43" s="24" t="n">
        <x:v>4519.892000000001</x:v>
      </x:c>
      <x:c r="C43" s="24" t="n">
        <x:v>862.3083999999999</x:v>
      </x:c>
      <x:c r="D43" t="n">
        <x:v>159</x:v>
      </x:c>
    </x:row>
    <x:row r="44">
      <x:c r="A44" s="30" t="n">
        <x:v>41699</x:v>
      </x:c>
      <x:c r="B44" s="24" t="n">
        <x:v>55691.00900000003</x:v>
      </x:c>
      <x:c r="C44" s="24" t="n">
        <x:v>498.7298999999983</x:v>
      </x:c>
      <x:c r="D44" t="n">
        <x:v>585</x:v>
      </x:c>
    </x:row>
    <x:row r="45">
      <x:c r="A45" s="30" t="n">
        <x:v>41730</x:v>
      </x:c>
      <x:c r="B45" s="24" t="n">
        <x:v>28295.344999999994</x:v>
      </x:c>
      <x:c r="C45" s="24" t="n">
        <x:v>3488.8352000000004</x:v>
      </x:c>
      <x:c r="D45" t="n">
        <x:v>536</x:v>
      </x:c>
    </x:row>
    <x:row r="46">
      <x:c r="A46" s="30" t="n">
        <x:v>41760</x:v>
      </x:c>
      <x:c r="B46" s="24" t="n">
        <x:v>23648.287000000004</x:v>
      </x:c>
      <x:c r="C46" s="24" t="n">
        <x:v>2738.709599999999</x:v>
      </x:c>
      <x:c r="D46" t="n">
        <x:v>466</x:v>
      </x:c>
    </x:row>
    <x:row r="47">
      <x:c r="A47" s="30" t="n">
        <x:v>41791</x:v>
      </x:c>
      <x:c r="B47" s="24" t="n">
        <x:v>34595.127600000036</x:v>
      </x:c>
      <x:c r="C47" s="24" t="n">
        <x:v>4976.524399999998</x:v>
      </x:c>
      <x:c r="D47" t="n">
        <x:v>521</x:v>
      </x:c>
    </x:row>
    <x:row r="48">
      <x:c r="A48" s="30" t="n">
        <x:v>41821</x:v>
      </x:c>
      <x:c r="B48" s="24" t="n">
        <x:v>33946.393</x:v>
      </x:c>
      <x:c r="C48" s="24" t="n">
        <x:v>-841.4826000000021</x:v>
      </x:c>
      <x:c r="D48" t="n">
        <x:v>550</x:v>
      </x:c>
    </x:row>
    <x:row r="49">
      <x:c r="A49" s="30" t="n">
        <x:v>41852</x:v>
      </x:c>
      <x:c r="B49" s="24" t="n">
        <x:v>27909.46849999999</x:v>
      </x:c>
      <x:c r="C49" s="24" t="n">
        <x:v>5318.105</x:v>
      </x:c>
      <x:c r="D49" t="n">
        <x:v>609</x:v>
      </x:c>
    </x:row>
    <x:row r="50">
      <x:c r="A50" s="30" t="n">
        <x:v>41883</x:v>
      </x:c>
      <x:c r="B50" s="24" t="n">
        <x:v>81777.35079999997</x:v>
      </x:c>
      <x:c r="C50" s="24" t="n">
        <x:v>8328.099400000001</x:v>
      </x:c>
      <x:c r="D50" t="n">
        <x:v>1000</x:v>
      </x:c>
    </x:row>
    <x:row r="51">
      <x:c r="A51" s="30" t="n">
        <x:v>41913</x:v>
      </x:c>
      <x:c r="B51" s="24" t="n">
        <x:v>31453.39299999999</x:v>
      </x:c>
      <x:c r="C51" s="24" t="n">
        <x:v>3448.257299999998</x:v>
      </x:c>
      <x:c r="D51" t="n">
        <x:v>573</x:v>
      </x:c>
    </x:row>
    <x:row r="52">
      <x:c r="A52" s="30" t="n">
        <x:v>41944</x:v>
      </x:c>
      <x:c r="B52" s="24" t="n">
        <x:v>78628.71669999999</x:v>
      </x:c>
      <x:c r="C52" s="24" t="n">
        <x:v>9292.126899999994</x:v>
      </x:c>
      <x:c r="D52" t="n">
        <x:v>1219</x:v>
      </x:c>
    </x:row>
    <x:row r="53">
      <x:c r="A53" s="30" t="n">
        <x:v>41974</x:v>
      </x:c>
      <x:c r="B53" s="24" t="n">
        <x:v>69545.62049999999</x:v>
      </x:c>
      <x:c r="C53" s="24" t="n">
        <x:v>8983.569899999999</x:v>
      </x:c>
      <x:c r="D53" t="n">
        <x:v>1079</x:v>
      </x:c>
    </x:row>
    <x:row r="54">
      <x:c r="A54" s="30" t="n">
        <x:v>42005</x:v>
      </x:c>
      <x:c r="B54" s="24" t="n">
        <x:v>18174.075599999993</x:v>
      </x:c>
      <x:c r="C54" s="24" t="n">
        <x:v>-3281.0070000000014</x:v>
      </x:c>
      <x:c r="D54" t="n">
        <x:v>236</x:v>
      </x:c>
    </x:row>
    <x:row r="55">
      <x:c r="A55" s="30" t="n">
        <x:v>42036</x:v>
      </x:c>
      <x:c r="B55" s="24" t="n">
        <x:v>11951.411</x:v>
      </x:c>
      <x:c r="C55" s="24" t="n">
        <x:v>2813.8508</x:v>
      </x:c>
      <x:c r="D55" t="n">
        <x:v>239</x:v>
      </x:c>
    </x:row>
    <x:row r="56">
      <x:c r="A56" s="30" t="n">
        <x:v>42064</x:v>
      </x:c>
      <x:c r="B56" s="24" t="n">
        <x:v>38726.25199999999</x:v>
      </x:c>
      <x:c r="C56" s="24" t="n">
        <x:v>9732.0978</x:v>
      </x:c>
      <x:c r="D56" t="n">
        <x:v>515</x:v>
      </x:c>
    </x:row>
    <x:row r="57">
      <x:c r="A57" s="30" t="n">
        <x:v>42095</x:v>
      </x:c>
      <x:c r="B57" s="24" t="n">
        <x:v>34195.20849999999</x:v>
      </x:c>
      <x:c r="C57" s="24" t="n">
        <x:v>4187.496199999997</x:v>
      </x:c>
      <x:c r="D57" t="n">
        <x:v>543</x:v>
      </x:c>
    </x:row>
    <x:row r="58">
      <x:c r="A58" s="30" t="n">
        <x:v>42125</x:v>
      </x:c>
      <x:c r="B58" s="24" t="n">
        <x:v>30131.686499999996</x:v>
      </x:c>
      <x:c r="C58" s="24" t="n">
        <x:v>4667.868999999997</x:v>
      </x:c>
      <x:c r="D58" t="n">
        <x:v>575</x:v>
      </x:c>
    </x:row>
    <x:row r="59">
      <x:c r="A59" s="30" t="n">
        <x:v>42156</x:v>
      </x:c>
      <x:c r="B59" s="24" t="n">
        <x:v>24797.292</x:v>
      </x:c>
      <x:c r="C59" s="24" t="n">
        <x:v>3335.5571999999997</x:v>
      </x:c>
      <x:c r="D59" t="n">
        <x:v>486</x:v>
      </x:c>
    </x:row>
    <x:row r="60">
      <x:c r="A60" s="30" t="n">
        <x:v>42186</x:v>
      </x:c>
      <x:c r="B60" s="24" t="n">
        <x:v>28765.324999999993</x:v>
      </x:c>
      <x:c r="C60" s="24" t="n">
        <x:v>3288.6483000000003</x:v>
      </x:c>
      <x:c r="D60" t="n">
        <x:v>557</x:v>
      </x:c>
    </x:row>
    <x:row r="61">
      <x:c r="A61" s="30" t="n">
        <x:v>42217</x:v>
      </x:c>
      <x:c r="B61" s="24" t="n">
        <x:v>36898.33219999999</x:v>
      </x:c>
      <x:c r="C61" s="24" t="n">
        <x:v>5355.8084</x:v>
      </x:c>
      <x:c r="D61" t="n">
        <x:v>598</x:v>
      </x:c>
    </x:row>
    <x:row r="62">
      <x:c r="A62" s="30" t="n">
        <x:v>42248</x:v>
      </x:c>
      <x:c r="B62" s="24" t="n">
        <x:v>64595.91800000004</x:v>
      </x:c>
      <x:c r="C62" s="24" t="n">
        <x:v>8209.1627</x:v>
      </x:c>
      <x:c r="D62" t="n">
        <x:v>1086</x:v>
      </x:c>
    </x:row>
    <x:row r="63">
      <x:c r="A63" s="30" t="n">
        <x:v>42278</x:v>
      </x:c>
      <x:c r="B63" s="24" t="n">
        <x:v>31404.92350000001</x:v>
      </x:c>
      <x:c r="C63" s="24" t="n">
        <x:v>2817.3659999999986</x:v>
      </x:c>
      <x:c r="D63" t="n">
        <x:v>631</x:v>
      </x:c>
    </x:row>
    <x:row r="64">
      <x:c r="A64" s="30" t="n">
        <x:v>42309</x:v>
      </x:c>
      <x:c r="B64" s="24" t="n">
        <x:v>75972.56350000005</x:v>
      </x:c>
      <x:c r="C64" s="24" t="n">
        <x:v>12474.788400000009</x:v>
      </x:c>
      <x:c r="D64" t="n">
        <x:v>1310</x:v>
      </x:c>
    </x:row>
    <x:row r="65">
      <x:c r="A65" s="30" t="n">
        <x:v>42339</x:v>
      </x:c>
      <x:c r="B65" s="24" t="n">
        <x:v>74919.52120000008</x:v>
      </x:c>
      <x:c r="C65" s="24" t="n">
        <x:v>8016.965899999997</x:v>
      </x:c>
      <x:c r="D65" t="n">
        <x:v>1203</x:v>
      </x:c>
    </x:row>
    <x:row r="66">
      <x:c r="A66" s="30" t="n">
        <x:v>42370</x:v>
      </x:c>
      <x:c r="B66" s="24" t="n">
        <x:v>18542.490999999995</x:v>
      </x:c>
      <x:c r="C66" s="24" t="n">
        <x:v>2824.8233000000005</x:v>
      </x:c>
      <x:c r="D66" t="n">
        <x:v>358</x:v>
      </x:c>
    </x:row>
    <x:row r="67">
      <x:c r="A67" s="30" t="n">
        <x:v>42401</x:v>
      </x:c>
      <x:c r="B67" s="24" t="n">
        <x:v>22978.815000000002</x:v>
      </x:c>
      <x:c r="C67" s="24" t="n">
        <x:v>5004.579499999998</x:v>
      </x:c>
      <x:c r="D67" t="n">
        <x:v>306</x:v>
      </x:c>
    </x:row>
    <x:row r="68">
      <x:c r="A68" s="30" t="n">
        <x:v>42430</x:v>
      </x:c>
      <x:c r="B68" s="24" t="n">
        <x:v>51715.87500000002</x:v>
      </x:c>
      <x:c r="C68" s="24" t="n">
        <x:v>3611.967999999998</x:v>
      </x:c>
      <x:c r="D68" t="n">
        <x:v>579</x:v>
      </x:c>
    </x:row>
    <x:row r="69">
      <x:c r="A69" s="30" t="n">
        <x:v>42461</x:v>
      </x:c>
      <x:c r="B69" s="24" t="n">
        <x:v>38750.03899999997</x:v>
      </x:c>
      <x:c r="C69" s="24" t="n">
        <x:v>2977.814899999998</x:v>
      </x:c>
      <x:c r="D69" t="n">
        <x:v>635</x:v>
      </x:c>
    </x:row>
    <x:row r="70">
      <x:c r="A70" s="30" t="n">
        <x:v>42491</x:v>
      </x:c>
      <x:c r="B70" s="24" t="n">
        <x:v>56987.72799999999</x:v>
      </x:c>
      <x:c r="C70" s="24" t="n">
        <x:v>8662.1464</x:v>
      </x:c>
      <x:c r="D70" t="n">
        <x:v>863</x:v>
      </x:c>
    </x:row>
    <x:row r="71">
      <x:c r="A71" s="30" t="n">
        <x:v>42522</x:v>
      </x:c>
      <x:c r="B71" s="24" t="n">
        <x:v>40344.533999999985</x:v>
      </x:c>
      <x:c r="C71" s="24" t="n">
        <x:v>4750.378100000002</x:v>
      </x:c>
      <x:c r="D71" t="n">
        <x:v>742</x:v>
      </x:c>
    </x:row>
    <x:row r="72">
      <x:c r="A72" s="30" t="n">
        <x:v>42552</x:v>
      </x:c>
      <x:c r="B72" s="24" t="n">
        <x:v>39261.962999999974</x:v>
      </x:c>
      <x:c r="C72" s="24" t="n">
        <x:v>4432.8778999999995</x:v>
      </x:c>
      <x:c r="D72" t="n">
        <x:v>758</x:v>
      </x:c>
    </x:row>
    <x:row r="73">
      <x:c r="A73" s="30" t="n">
        <x:v>42583</x:v>
      </x:c>
      <x:c r="B73" s="24" t="n">
        <x:v>31115.3743</x:v>
      </x:c>
      <x:c r="C73" s="24" t="n">
        <x:v>2062.0692999999983</x:v>
      </x:c>
      <x:c r="D73" t="n">
        <x:v>693</x:v>
      </x:c>
    </x:row>
    <x:row r="74">
      <x:c r="A74" s="30" t="n">
        <x:v>42614</x:v>
      </x:c>
      <x:c r="B74" s="24" t="n">
        <x:v>73410.02489999997</x:v>
      </x:c>
      <x:c r="C74" s="24" t="n">
        <x:v>9328.657599999991</x:v>
      </x:c>
      <x:c r="D74" t="n">
        <x:v>1316</x:v>
      </x:c>
    </x:row>
    <x:row r="75">
      <x:c r="A75" s="30" t="n">
        <x:v>42644</x:v>
      </x:c>
      <x:c r="B75" s="24" t="n">
        <x:v>59687.74500000002</x:v>
      </x:c>
      <x:c r="C75" s="24" t="n">
        <x:v>16243.142500000004</x:v>
      </x:c>
      <x:c r="D75" t="n">
        <x:v>767</x:v>
      </x:c>
    </x:row>
    <x:row r="76">
      <x:c r="A76" s="30" t="n">
        <x:v>42675</x:v>
      </x:c>
      <x:c r="B76" s="24" t="n">
        <x:v>79411.96579999999</x:v>
      </x:c>
      <x:c r="C76" s="24" t="n">
        <x:v>4011.407499999998</x:v>
      </x:c>
      <x:c r="D76" t="n">
        <x:v>1406</x:v>
      </x:c>
    </x:row>
    <x:row r="77">
      <x:c r="A77" s="30" t="n">
        <x:v>42705</x:v>
      </x:c>
      <x:c r="B77" s="24" t="n">
        <x:v>96999.04300000002</x:v>
      </x:c>
      <x:c r="C77" s="24" t="n">
        <x:v>17885.3093</x:v>
      </x:c>
      <x:c r="D77" t="n">
        <x:v>1414</x:v>
      </x:c>
    </x:row>
    <x:row r="78">
      <x:c r="A78" s="30" t="n">
        <x:v>42736</x:v>
      </x:c>
      <x:c r="B78" s="24" t="n">
        <x:v>43971.373999999996</x:v>
      </x:c>
      <x:c r="C78" s="24" t="n">
        <x:v>7140.439099999999</x:v>
      </x:c>
      <x:c r="D78" t="n">
        <x:v>597</x:v>
      </x:c>
    </x:row>
    <x:row r="79">
      <x:c r="A79" s="30" t="n">
        <x:v>42767</x:v>
      </x:c>
      <x:c r="B79" s="24" t="n">
        <x:v>20301.13339999999</x:v>
      </x:c>
      <x:c r="C79" s="24" t="n">
        <x:v>1613.8719999999985</x:v>
      </x:c>
      <x:c r="D79" t="n">
        <x:v>363</x:v>
      </x:c>
    </x:row>
    <x:row r="80">
      <x:c r="A80" s="30" t="n">
        <x:v>42795</x:v>
      </x:c>
      <x:c r="B80" s="24" t="n">
        <x:v>58872.352799999986</x:v>
      </x:c>
      <x:c r="C80" s="24" t="n">
        <x:v>14751.8915</x:v>
      </x:c>
      <x:c r="D80" t="n">
        <x:v>885</x:v>
      </x:c>
    </x:row>
    <x:row r="81">
      <x:c r="A81" s="30" t="n">
        <x:v>42826</x:v>
      </x:c>
      <x:c r="B81" s="24" t="n">
        <x:v>36521.536100000005</x:v>
      </x:c>
      <x:c r="C81" s="24" t="n">
        <x:v>933.2899999999962</x:v>
      </x:c>
      <x:c r="D81" t="n">
        <x:v>733</x:v>
      </x:c>
    </x:row>
    <x:row r="82">
      <x:c r="A82" s="30" t="n">
        <x:v>42856</x:v>
      </x:c>
      <x:c r="B82" s="24" t="n">
        <x:v>44261.110199999996</x:v>
      </x:c>
      <x:c r="C82" s="24" t="n">
        <x:v>6342.5827999999965</x:v>
      </x:c>
      <x:c r="D82" t="n">
        <x:v>887</x:v>
      </x:c>
    </x:row>
    <x:row r="83">
      <x:c r="A83" s="30" t="n">
        <x:v>42887</x:v>
      </x:c>
      <x:c r="B83" s="24" t="n">
        <x:v>52981.725699999995</x:v>
      </x:c>
      <x:c r="C83" s="24" t="n">
        <x:v>8223.335699999996</x:v>
      </x:c>
      <x:c r="D83" t="n">
        <x:v>931</x:v>
      </x:c>
    </x:row>
    <x:row r="84">
      <x:c r="A84" s="30" t="n">
        <x:v>42917</x:v>
      </x:c>
      <x:c r="B84" s="24" t="n">
        <x:v>45264.416000000005</x:v>
      </x:c>
      <x:c r="C84" s="24" t="n">
        <x:v>6952.621199999999</x:v>
      </x:c>
      <x:c r="D84" t="n">
        <x:v>840</x:v>
      </x:c>
    </x:row>
    <x:row r="85">
      <x:c r="A85" s="30" t="n">
        <x:v>42948</x:v>
      </x:c>
      <x:c r="B85" s="24" t="n">
        <x:v>63120.88799999998</x:v>
      </x:c>
      <x:c r="C85" s="24" t="n">
        <x:v>9040.955699999997</x:v>
      </x:c>
      <x:c r="D85" t="n">
        <x:v>884</x:v>
      </x:c>
    </x:row>
    <x:row r="86">
      <x:c r="A86" s="30" t="n">
        <x:v>42979</x:v>
      </x:c>
      <x:c r="B86" s="24" t="n">
        <x:v>87866.65200000003</x:v>
      </x:c>
      <x:c r="C86" s="24" t="n">
        <x:v>10991.555600000007</x:v>
      </x:c>
      <x:c r="D86" t="n">
        <x:v>1660</x:v>
      </x:c>
    </x:row>
    <x:row r="87">
      <x:c r="A87" s="30" t="n">
        <x:v>43009</x:v>
      </x:c>
      <x:c r="B87" s="24" t="n">
        <x:v>77776.92319999998</x:v>
      </x:c>
      <x:c r="C87" s="24" t="n">
        <x:v>9275.2755</x:v>
      </x:c>
      <x:c r="D87" t="n">
        <x:v>1133</x:v>
      </x:c>
    </x:row>
    <x:row r="88">
      <x:c r="A88" s="30" t="n">
        <x:v>43040</x:v>
      </x:c>
      <x:c r="B88" s="24" t="n">
        <x:v>118447.82500000003</x:v>
      </x:c>
      <x:c r="C88" s="24" t="n">
        <x:v>9690.103699999994</x:v>
      </x:c>
      <x:c r="D88" t="n">
        <x:v>1840</x:v>
      </x:c>
    </x:row>
    <x:row r="89">
      <x:c r="A89" s="30" t="n">
        <x:v>43070</x:v>
      </x:c>
      <x:c r="B89" s="24" t="n">
        <x:v>83829.3188</x:v>
      </x:c>
      <x:c r="C89" s="24" t="n">
        <x:v>8483.346799999992</x:v>
      </x:c>
      <x:c r="D89" t="n">
        <x:v>1723</x:v>
      </x:c>
    </x:row>
  </x:sheetData>
  <x:mergeCells>
    <x:mergeCell ref="A1:K2"/>
  </x:mergeCells>
  <x:conditionalFormatting sqref="C23:C39">
    <x:cfRule type="expression" dxfId="0" priority="1">
      <x:formula>C23&lt;0</x:formula>
    </x:cfRule>
  </x:conditionalFormatting>
  <x:conditionalFormatting sqref="I23:I34">
    <x:cfRule type="expression" dxfId="1" priority="2">
      <x:formula>I23&lt;0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2" hidden="0" customWidth="1"/>
    <x:col min="5" max="5" width="4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34" t="str">
        <x:v>SUPERSTORE SALES DASHBOARD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>
      <x:c r="A3" s="40" t="str">
        <x:v>Revenue • Profitability • Regional Performance • Category Mix • Returns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5">
      <x:c r="A5" s="46" t="str">
        <x:v>Total Sales</x:v>
      </x:c>
      <x:c r="B5" s="46" t="str">
        <x:v>Total Sales</x:v>
      </x:c>
      <x:c r="C5" s="46" t="str">
        <x:v>Total Sales</x:v>
      </x:c>
      <x:c r="D5" s="46" t="str">
        <x:v>Total Profit</x:v>
      </x:c>
      <x:c r="E5" s="46" t="str">
        <x:v>Total Profit</x:v>
      </x:c>
      <x:c r="F5" s="46" t="str">
        <x:v>Total Profit</x:v>
      </x:c>
      <x:c r="G5" s="46" t="str">
        <x:v>Profit Margin</x:v>
      </x:c>
      <x:c r="H5" s="46" t="str">
        <x:v>Profit Margin</x:v>
      </x:c>
      <x:c r="I5" s="46" t="str">
        <x:v>Profit Margin</x:v>
      </x:c>
      <x:c r="J5" s="46" t="str">
        <x:v>Orders</x:v>
      </x:c>
      <x:c r="K5" s="46" t="str">
        <x:v>Orders</x:v>
      </x:c>
      <x:c r="L5" s="46" t="str">
        <x:v>Orders</x:v>
      </x:c>
      <x:c r="M5" s="46" t="str">
        <x:v>Return Rate</x:v>
      </x:c>
      <x:c r="N5" s="46" t="str">
        <x:v>Return Rate</x:v>
      </x:c>
    </x:row>
    <x:row r="6">
      <x:c r="A6" s="52" t="n">
        <x:f>'Analysis'!B5</x:f>
        <x:v>2297200.8603</x:v>
      </x:c>
      <x:c r="B6" s="52"/>
      <x:c r="C6" s="52"/>
      <x:c r="D6" s="52" t="n">
        <x:f>'Analysis'!B6</x:f>
        <x:v>286397.0216999999</x:v>
      </x:c>
      <x:c r="E6" s="52"/>
      <x:c r="F6" s="52"/>
      <x:c r="G6" s="57" t="n">
        <x:f>'Analysis'!B7</x:f>
        <x:v>0.12467217240315603</x:v>
      </x:c>
      <x:c r="H6" s="57"/>
      <x:c r="I6" s="57"/>
      <x:c r="J6" s="61" t="n">
        <x:f>'Analysis'!B9</x:f>
        <x:v>5009</x:v>
      </x:c>
      <x:c r="K6" s="61"/>
      <x:c r="L6" s="61"/>
      <x:c r="M6" s="57" t="n">
        <x:f>'Analysis'!B12</x:f>
        <x:v>0.05909363146336594</x:v>
      </x:c>
      <x:c r="N6" s="57"/>
    </x:row>
    <x:row r="7">
      <x:c r="A7" s="52"/>
      <x:c r="B7" s="52"/>
      <x:c r="C7" s="52"/>
      <x:c r="D7" s="52"/>
      <x:c r="E7" s="52"/>
      <x:c r="F7" s="52"/>
      <x:c r="G7" s="57"/>
      <x:c r="H7" s="57"/>
      <x:c r="I7" s="57"/>
      <x:c r="J7" s="61"/>
      <x:c r="K7" s="61"/>
      <x:c r="L7" s="61"/>
      <x:c r="M7" s="57"/>
      <x:c r="N7" s="57"/>
    </x:row>
    <x:row r="9">
      <x:c r="A9" s="20" t="str">
        <x:v>Key insights:
• West is the strongest region by sales and profit.
• Technology has the strongest category margin; Furniture is much weaker.
• Tables and Bookcases are loss-making sub-categories.
• Very high discount levels correlate with negative profit.
• Consumer is the largest segment by revenue; returned orders are ~5.9%.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5">
      <x:c r="A15" s="13" t="str">
        <x:v>Region</x:v>
      </x:c>
      <x:c r="B15" s="13" t="str">
        <x:v>Sales</x:v>
      </x:c>
      <x:c r="C15" s="13" t="str">
        <x:v>Profit</x:v>
      </x:c>
      <x:c r="D15" s="13" t="str">
        <x:v>Margin</x:v>
      </x:c>
      <x:c r="F15" s="13" t="str">
        <x:v>Category</x:v>
      </x:c>
      <x:c r="G15" s="13" t="str">
        <x:v>Sales</x:v>
      </x:c>
      <x:c r="H15" s="13" t="str">
        <x:v>Profit</x:v>
      </x:c>
      <x:c r="I15" s="13" t="str">
        <x:v>Margin</x:v>
      </x:c>
    </x:row>
    <x:row r="16">
      <x:c r="A16" t="str">
        <x:v>West</x:v>
      </x:c>
      <x:c r="B16" t="n">
        <x:v>725457.8245000006</x:v>
      </x:c>
      <x:c r="C16" t="n">
        <x:v>108418.44890000013</x:v>
      </x:c>
      <x:c r="D16" t="n">
        <x:v>0.1494483142072721</x:v>
      </x:c>
      <x:c r="F16" t="str">
        <x:v>Technology</x:v>
      </x:c>
      <x:c r="G16" t="n">
        <x:v>836154.0329999966</x:v>
      </x:c>
      <x:c r="H16" t="n">
        <x:v>145454.9480999998</x:v>
      </x:c>
      <x:c r="I16" t="n">
        <x:v>0.17395712076891987</x:v>
      </x:c>
    </x:row>
    <x:row r="17">
      <x:c r="A17" t="str">
        <x:v>East</x:v>
      </x:c>
      <x:c r="B17" t="n">
        <x:v>678781.2399999979</x:v>
      </x:c>
      <x:c r="C17" t="n">
        <x:v>91522.78000000026</x:v>
      </x:c>
      <x:c r="D17" t="n">
        <x:v>0.13483398568882154</x:v>
      </x:c>
      <x:c r="F17" t="str">
        <x:v>Furniture</x:v>
      </x:c>
      <x:c r="G17" t="n">
        <x:v>741999.7952999998</x:v>
      </x:c>
      <x:c r="H17" t="n">
        <x:v>18451.27279999999</x:v>
      </x:c>
      <x:c r="I17" t="n">
        <x:v>0.024866951334588862</x:v>
      </x:c>
    </x:row>
    <x:row r="18">
      <x:c r="A18" t="str">
        <x:v>Central</x:v>
      </x:c>
      <x:c r="B18" t="n">
        <x:v>501239.8908000005</x:v>
      </x:c>
      <x:c r="C18" t="n">
        <x:v>39706.36249999997</x:v>
      </x:c>
      <x:c r="D18" t="n">
        <x:v>0.07921628591177549</x:v>
      </x:c>
      <x:c r="F18" t="str">
        <x:v>Office Supplies</x:v>
      </x:c>
      <x:c r="G18" t="n">
        <x:v>719047.0320000029</x:v>
      </x:c>
      <x:c r="H18" t="n">
        <x:v>122490.8008000001</x:v>
      </x:c>
      <x:c r="I18" t="n">
        <x:v>0.17035158390028596</x:v>
      </x:c>
    </x:row>
    <x:row r="19">
      <x:c r="A19" t="str">
        <x:v>South</x:v>
      </x:c>
      <x:c r="B19" t="n">
        <x:v>391721.9050000003</x:v>
      </x:c>
      <x:c r="C19" t="n">
        <x:v>46749.43030000006</x:v>
      </x:c>
      <x:c r="D19" t="n">
        <x:v>0.11934341609004485</x:v>
      </x:c>
    </x:row>
    <x:row r="41">
      <x:c r="A41" s="13" t="str">
        <x:v>Month</x:v>
      </x:c>
      <x:c r="B41" s="13" t="str">
        <x:v>Sales</x:v>
      </x:c>
      <x:c r="C41" s="13" t="str">
        <x:v>Profit</x:v>
      </x:c>
    </x:row>
    <x:row r="42">
      <x:c r="A42" s="30" t="n">
        <x:v>41640</x:v>
      </x:c>
      <x:c r="B42" s="24" t="n">
        <x:v>14236.894999999997</x:v>
      </x:c>
      <x:c r="C42" s="24" t="n">
        <x:v>2450.190699999999</x:v>
      </x:c>
    </x:row>
    <x:row r="43">
      <x:c r="A43" s="30" t="n">
        <x:v>41671</x:v>
      </x:c>
      <x:c r="B43" s="24" t="n">
        <x:v>4519.892000000001</x:v>
      </x:c>
      <x:c r="C43" s="24" t="n">
        <x:v>862.3083999999999</x:v>
      </x:c>
    </x:row>
    <x:row r="44">
      <x:c r="A44" s="30" t="n">
        <x:v>41699</x:v>
      </x:c>
      <x:c r="B44" s="24" t="n">
        <x:v>55691.00900000003</x:v>
      </x:c>
      <x:c r="C44" s="24" t="n">
        <x:v>498.7298999999983</x:v>
      </x:c>
    </x:row>
    <x:row r="45">
      <x:c r="A45" s="30" t="n">
        <x:v>41730</x:v>
      </x:c>
      <x:c r="B45" s="24" t="n">
        <x:v>28295.344999999994</x:v>
      </x:c>
      <x:c r="C45" s="24" t="n">
        <x:v>3488.8352000000004</x:v>
      </x:c>
    </x:row>
    <x:row r="46">
      <x:c r="A46" s="30" t="n">
        <x:v>41760</x:v>
      </x:c>
      <x:c r="B46" s="24" t="n">
        <x:v>23648.287000000004</x:v>
      </x:c>
      <x:c r="C46" s="24" t="n">
        <x:v>2738.709599999999</x:v>
      </x:c>
    </x:row>
    <x:row r="47">
      <x:c r="A47" s="30" t="n">
        <x:v>41791</x:v>
      </x:c>
      <x:c r="B47" s="24" t="n">
        <x:v>34595.127600000036</x:v>
      </x:c>
      <x:c r="C47" s="24" t="n">
        <x:v>4976.524399999998</x:v>
      </x:c>
    </x:row>
    <x:row r="48">
      <x:c r="A48" s="30" t="n">
        <x:v>41821</x:v>
      </x:c>
      <x:c r="B48" s="24" t="n">
        <x:v>33946.393</x:v>
      </x:c>
      <x:c r="C48" s="24" t="n">
        <x:v>-841.4826000000021</x:v>
      </x:c>
    </x:row>
    <x:row r="49">
      <x:c r="A49" s="30" t="n">
        <x:v>41852</x:v>
      </x:c>
      <x:c r="B49" s="24" t="n">
        <x:v>27909.46849999999</x:v>
      </x:c>
      <x:c r="C49" s="24" t="n">
        <x:v>5318.105</x:v>
      </x:c>
    </x:row>
    <x:row r="50">
      <x:c r="A50" s="30" t="n">
        <x:v>41883</x:v>
      </x:c>
      <x:c r="B50" s="24" t="n">
        <x:v>81777.35079999997</x:v>
      </x:c>
      <x:c r="C50" s="24" t="n">
        <x:v>8328.099400000001</x:v>
      </x:c>
    </x:row>
    <x:row r="51">
      <x:c r="A51" s="30" t="n">
        <x:v>41913</x:v>
      </x:c>
      <x:c r="B51" s="24" t="n">
        <x:v>31453.39299999999</x:v>
      </x:c>
      <x:c r="C51" s="24" t="n">
        <x:v>3448.257299999998</x:v>
      </x:c>
    </x:row>
    <x:row r="52">
      <x:c r="A52" s="30" t="n">
        <x:v>41944</x:v>
      </x:c>
      <x:c r="B52" s="24" t="n">
        <x:v>78628.71669999999</x:v>
      </x:c>
      <x:c r="C52" s="24" t="n">
        <x:v>9292.126899999994</x:v>
      </x:c>
    </x:row>
    <x:row r="53">
      <x:c r="A53" s="30" t="n">
        <x:v>41974</x:v>
      </x:c>
      <x:c r="B53" s="24" t="n">
        <x:v>69545.62049999999</x:v>
      </x:c>
      <x:c r="C53" s="24" t="n">
        <x:v>8983.569899999999</x:v>
      </x:c>
    </x:row>
    <x:row r="54">
      <x:c r="A54" s="30" t="n">
        <x:v>42005</x:v>
      </x:c>
      <x:c r="B54" s="24" t="n">
        <x:v>18174.075599999993</x:v>
      </x:c>
      <x:c r="C54" s="24" t="n">
        <x:v>-3281.0070000000014</x:v>
      </x:c>
    </x:row>
    <x:row r="55">
      <x:c r="A55" s="30" t="n">
        <x:v>42036</x:v>
      </x:c>
      <x:c r="B55" s="24" t="n">
        <x:v>11951.411</x:v>
      </x:c>
      <x:c r="C55" s="24" t="n">
        <x:v>2813.8508</x:v>
      </x:c>
    </x:row>
    <x:row r="56">
      <x:c r="A56" s="30" t="n">
        <x:v>42064</x:v>
      </x:c>
      <x:c r="B56" s="24" t="n">
        <x:v>38726.25199999999</x:v>
      </x:c>
      <x:c r="C56" s="24" t="n">
        <x:v>9732.0978</x:v>
      </x:c>
    </x:row>
    <x:row r="57">
      <x:c r="A57" s="30" t="n">
        <x:v>42095</x:v>
      </x:c>
      <x:c r="B57" s="24" t="n">
        <x:v>34195.20849999999</x:v>
      </x:c>
      <x:c r="C57" s="24" t="n">
        <x:v>4187.496199999997</x:v>
      </x:c>
    </x:row>
    <x:row r="58">
      <x:c r="A58" s="30" t="n">
        <x:v>42125</x:v>
      </x:c>
      <x:c r="B58" s="24" t="n">
        <x:v>30131.686499999996</x:v>
      </x:c>
      <x:c r="C58" s="24" t="n">
        <x:v>4667.868999999997</x:v>
      </x:c>
    </x:row>
    <x:row r="59">
      <x:c r="A59" s="30" t="n">
        <x:v>42156</x:v>
      </x:c>
      <x:c r="B59" s="24" t="n">
        <x:v>24797.292</x:v>
      </x:c>
      <x:c r="C59" s="24" t="n">
        <x:v>3335.5571999999997</x:v>
      </x:c>
    </x:row>
    <x:row r="60">
      <x:c r="A60" s="30" t="n">
        <x:v>42186</x:v>
      </x:c>
      <x:c r="B60" s="24" t="n">
        <x:v>28765.324999999993</x:v>
      </x:c>
      <x:c r="C60" s="24" t="n">
        <x:v>3288.6483000000003</x:v>
      </x:c>
    </x:row>
    <x:row r="61">
      <x:c r="A61" s="30" t="n">
        <x:v>42217</x:v>
      </x:c>
      <x:c r="B61" s="24" t="n">
        <x:v>36898.33219999999</x:v>
      </x:c>
      <x:c r="C61" s="24" t="n">
        <x:v>5355.8084</x:v>
      </x:c>
    </x:row>
    <x:row r="62">
      <x:c r="A62" s="30" t="n">
        <x:v>42248</x:v>
      </x:c>
      <x:c r="B62" s="24" t="n">
        <x:v>64595.91800000004</x:v>
      </x:c>
      <x:c r="C62" s="24" t="n">
        <x:v>8209.1627</x:v>
      </x:c>
    </x:row>
    <x:row r="63">
      <x:c r="A63" s="30" t="n">
        <x:v>42278</x:v>
      </x:c>
      <x:c r="B63" s="24" t="n">
        <x:v>31404.92350000001</x:v>
      </x:c>
      <x:c r="C63" s="24" t="n">
        <x:v>2817.3659999999986</x:v>
      </x:c>
    </x:row>
    <x:row r="64">
      <x:c r="A64" s="30" t="n">
        <x:v>42309</x:v>
      </x:c>
      <x:c r="B64" s="24" t="n">
        <x:v>75972.56350000005</x:v>
      </x:c>
      <x:c r="C64" s="24" t="n">
        <x:v>12474.788400000009</x:v>
      </x:c>
    </x:row>
    <x:row r="65">
      <x:c r="A65" s="30" t="n">
        <x:v>42339</x:v>
      </x:c>
      <x:c r="B65" s="24" t="n">
        <x:v>74919.52120000008</x:v>
      </x:c>
      <x:c r="C65" s="24" t="n">
        <x:v>8016.965899999997</x:v>
      </x:c>
    </x:row>
    <x:row r="66">
      <x:c r="A66" s="30" t="n">
        <x:v>42370</x:v>
      </x:c>
      <x:c r="B66" s="24" t="n">
        <x:v>18542.490999999995</x:v>
      </x:c>
      <x:c r="C66" s="24" t="n">
        <x:v>2824.8233000000005</x:v>
      </x:c>
    </x:row>
    <x:row r="67">
      <x:c r="A67" s="30" t="n">
        <x:v>42401</x:v>
      </x:c>
      <x:c r="B67" s="24" t="n">
        <x:v>22978.815000000002</x:v>
      </x:c>
      <x:c r="C67" s="24" t="n">
        <x:v>5004.579499999998</x:v>
      </x:c>
    </x:row>
    <x:row r="68">
      <x:c r="A68" s="30" t="n">
        <x:v>42430</x:v>
      </x:c>
      <x:c r="B68" s="24" t="n">
        <x:v>51715.87500000002</x:v>
      </x:c>
      <x:c r="C68" s="24" t="n">
        <x:v>3611.967999999998</x:v>
      </x:c>
    </x:row>
    <x:row r="69">
      <x:c r="A69" s="30" t="n">
        <x:v>42461</x:v>
      </x:c>
      <x:c r="B69" s="24" t="n">
        <x:v>38750.03899999997</x:v>
      </x:c>
      <x:c r="C69" s="24" t="n">
        <x:v>2977.814899999998</x:v>
      </x:c>
    </x:row>
    <x:row r="70">
      <x:c r="A70" s="30" t="n">
        <x:v>42491</x:v>
      </x:c>
      <x:c r="B70" s="24" t="n">
        <x:v>56987.72799999999</x:v>
      </x:c>
      <x:c r="C70" s="24" t="n">
        <x:v>8662.1464</x:v>
      </x:c>
    </x:row>
    <x:row r="71">
      <x:c r="A71" s="30" t="n">
        <x:v>42522</x:v>
      </x:c>
      <x:c r="B71" s="24" t="n">
        <x:v>40344.533999999985</x:v>
      </x:c>
      <x:c r="C71" s="24" t="n">
        <x:v>4750.378100000002</x:v>
      </x:c>
    </x:row>
    <x:row r="72">
      <x:c r="A72" s="30" t="n">
        <x:v>42552</x:v>
      </x:c>
      <x:c r="B72" s="24" t="n">
        <x:v>39261.962999999974</x:v>
      </x:c>
      <x:c r="C72" s="24" t="n">
        <x:v>4432.8778999999995</x:v>
      </x:c>
    </x:row>
    <x:row r="73">
      <x:c r="A73" s="30" t="n">
        <x:v>42583</x:v>
      </x:c>
      <x:c r="B73" s="24" t="n">
        <x:v>31115.3743</x:v>
      </x:c>
      <x:c r="C73" s="24" t="n">
        <x:v>2062.0692999999983</x:v>
      </x:c>
    </x:row>
    <x:row r="74">
      <x:c r="A74" s="30" t="n">
        <x:v>42614</x:v>
      </x:c>
      <x:c r="B74" s="24" t="n">
        <x:v>73410.02489999997</x:v>
      </x:c>
      <x:c r="C74" s="24" t="n">
        <x:v>9328.657599999991</x:v>
      </x:c>
    </x:row>
    <x:row r="75">
      <x:c r="A75" s="30" t="n">
        <x:v>42644</x:v>
      </x:c>
      <x:c r="B75" s="24" t="n">
        <x:v>59687.74500000002</x:v>
      </x:c>
      <x:c r="C75" s="24" t="n">
        <x:v>16243.142500000004</x:v>
      </x:c>
    </x:row>
    <x:row r="76">
      <x:c r="A76" s="30" t="n">
        <x:v>42675</x:v>
      </x:c>
      <x:c r="B76" s="24" t="n">
        <x:v>79411.96579999999</x:v>
      </x:c>
      <x:c r="C76" s="24" t="n">
        <x:v>4011.407499999998</x:v>
      </x:c>
    </x:row>
    <x:row r="77">
      <x:c r="A77" s="30" t="n">
        <x:v>42705</x:v>
      </x:c>
      <x:c r="B77" s="24" t="n">
        <x:v>96999.04300000002</x:v>
      </x:c>
      <x:c r="C77" s="24" t="n">
        <x:v>17885.3093</x:v>
      </x:c>
    </x:row>
    <x:row r="78">
      <x:c r="A78" s="30" t="n">
        <x:v>42736</x:v>
      </x:c>
      <x:c r="B78" s="24" t="n">
        <x:v>43971.373999999996</x:v>
      </x:c>
      <x:c r="C78" s="24" t="n">
        <x:v>7140.439099999999</x:v>
      </x:c>
    </x:row>
    <x:row r="79">
      <x:c r="A79" s="30" t="n">
        <x:v>42767</x:v>
      </x:c>
      <x:c r="B79" s="24" t="n">
        <x:v>20301.13339999999</x:v>
      </x:c>
      <x:c r="C79" s="24" t="n">
        <x:v>1613.8719999999985</x:v>
      </x:c>
    </x:row>
    <x:row r="80">
      <x:c r="A80" s="30" t="n">
        <x:v>42795</x:v>
      </x:c>
      <x:c r="B80" s="24" t="n">
        <x:v>58872.352799999986</x:v>
      </x:c>
      <x:c r="C80" s="24" t="n">
        <x:v>14751.8915</x:v>
      </x:c>
    </x:row>
    <x:row r="81">
      <x:c r="A81" s="30" t="n">
        <x:v>42826</x:v>
      </x:c>
      <x:c r="B81" s="24" t="n">
        <x:v>36521.536100000005</x:v>
      </x:c>
      <x:c r="C81" s="24" t="n">
        <x:v>933.2899999999962</x:v>
      </x:c>
    </x:row>
    <x:row r="82">
      <x:c r="A82" s="30" t="n">
        <x:v>42856</x:v>
      </x:c>
      <x:c r="B82" s="24" t="n">
        <x:v>44261.110199999996</x:v>
      </x:c>
      <x:c r="C82" s="24" t="n">
        <x:v>6342.5827999999965</x:v>
      </x:c>
    </x:row>
    <x:row r="83">
      <x:c r="A83" s="30" t="n">
        <x:v>42887</x:v>
      </x:c>
      <x:c r="B83" s="24" t="n">
        <x:v>52981.725699999995</x:v>
      </x:c>
      <x:c r="C83" s="24" t="n">
        <x:v>8223.335699999996</x:v>
      </x:c>
    </x:row>
    <x:row r="84">
      <x:c r="A84" s="30" t="n">
        <x:v>42917</x:v>
      </x:c>
      <x:c r="B84" s="24" t="n">
        <x:v>45264.416000000005</x:v>
      </x:c>
      <x:c r="C84" s="24" t="n">
        <x:v>6952.621199999999</x:v>
      </x:c>
    </x:row>
    <x:row r="85">
      <x:c r="A85" s="30" t="n">
        <x:v>42948</x:v>
      </x:c>
      <x:c r="B85" s="24" t="n">
        <x:v>63120.88799999998</x:v>
      </x:c>
      <x:c r="C85" s="24" t="n">
        <x:v>9040.955699999997</x:v>
      </x:c>
    </x:row>
    <x:row r="86">
      <x:c r="A86" s="30" t="n">
        <x:v>42979</x:v>
      </x:c>
      <x:c r="B86" s="24" t="n">
        <x:v>87866.65200000003</x:v>
      </x:c>
      <x:c r="C86" s="24" t="n">
        <x:v>10991.555600000007</x:v>
      </x:c>
    </x:row>
    <x:row r="87">
      <x:c r="A87" s="30" t="n">
        <x:v>43009</x:v>
      </x:c>
      <x:c r="B87" s="24" t="n">
        <x:v>77776.92319999998</x:v>
      </x:c>
      <x:c r="C87" s="24" t="n">
        <x:v>9275.2755</x:v>
      </x:c>
    </x:row>
    <x:row r="88">
      <x:c r="A88" s="30" t="n">
        <x:v>43040</x:v>
      </x:c>
      <x:c r="B88" s="24" t="n">
        <x:v>118447.82500000003</x:v>
      </x:c>
      <x:c r="C88" s="24" t="n">
        <x:v>9690.103699999994</x:v>
      </x:c>
    </x:row>
    <x:row r="89">
      <x:c r="A89" s="30" t="n">
        <x:v>43070</x:v>
      </x:c>
      <x:c r="B89" s="24" t="n">
        <x:v>83829.3188</x:v>
      </x:c>
      <x:c r="C89" s="24" t="n">
        <x:v>8483.346799999992</x:v>
      </x:c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A9:N13"/>
  </x:mergeCells>
  <x:pageMargins left="0.7" right="0.7" top="0.75" bottom="0.75" header="0.3" footer="0.3"/>
  <x:drawing xmlns:r="http://schemas.openxmlformats.org/officeDocument/2006/relationships" r:id="R61c0e8d1a0214c91"/>
</x:worksheet>
</file>